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GitHub\ClimateTestMethods\OMs\Sardine\Tables\"/>
    </mc:Choice>
  </mc:AlternateContent>
  <xr:revisionPtr revIDLastSave="0" documentId="13_ncr:1_{A60B2F98-422B-40AF-8FCC-54CCCB92BCF0}" xr6:coauthVersionLast="47" xr6:coauthVersionMax="47" xr10:uidLastSave="{00000000-0000-0000-0000-000000000000}"/>
  <bookViews>
    <workbookView xWindow="38290" yWindow="-110" windowWidth="38620" windowHeight="21100" tabRatio="827" xr2:uid="{EE4263A2-8FC9-4695-B2B5-F7B8177F316B}"/>
  </bookViews>
  <sheets>
    <sheet name="ToDo" sheetId="15" r:id="rId1"/>
    <sheet name="Challenges" sheetId="5" r:id="rId2"/>
    <sheet name="CMO" sheetId="7" r:id="rId3"/>
    <sheet name="RefGrid" sheetId="1" r:id="rId4"/>
    <sheet name="Reference" sheetId="14" r:id="rId5"/>
    <sheet name="RCM_LHF" sheetId="17" r:id="rId6"/>
    <sheet name="RCM_config" sheetId="18" r:id="rId7"/>
    <sheet name="RCM_params" sheetId="19" r:id="rId8"/>
    <sheet name="Robustness" sheetId="8" r:id="rId9"/>
    <sheet name="StatQuo" sheetId="20" r:id="rId10"/>
    <sheet name="Solutions" sheetId="6" r:id="rId11"/>
    <sheet name="PastData" sheetId="2" r:id="rId12"/>
    <sheet name="Fleets" sheetId="3" r:id="rId13"/>
    <sheet name="Data_Assump" sheetId="9" r:id="rId14"/>
    <sheet name="Areas" sheetId="4" r:id="rId15"/>
    <sheet name="PMs" sheetId="10" r:id="rId16"/>
    <sheet name="MParch" sheetId="11" r:id="rId17"/>
    <sheet name="MPderiv" sheetId="12" r:id="rId18"/>
    <sheet name="Params" sheetId="16" r:id="rId19"/>
    <sheet name="Glossary" sheetId="13"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9" l="1"/>
</calcChain>
</file>

<file path=xl/sharedStrings.xml><?xml version="1.0" encoding="utf-8"?>
<sst xmlns="http://schemas.openxmlformats.org/spreadsheetml/2006/main" count="452" uniqueCount="354">
  <si>
    <t>Uncertainty</t>
  </si>
  <si>
    <t>Level 1</t>
  </si>
  <si>
    <t>Level 2</t>
  </si>
  <si>
    <t>Natural Mortality</t>
  </si>
  <si>
    <t>Recruitment Level</t>
  </si>
  <si>
    <t>Resilience (steepness)</t>
  </si>
  <si>
    <t>Low (s): 0.7</t>
  </si>
  <si>
    <t>High (S): 0.95</t>
  </si>
  <si>
    <t>Viscosity</t>
  </si>
  <si>
    <t>Type</t>
  </si>
  <si>
    <t>Resolution</t>
  </si>
  <si>
    <t>Description</t>
  </si>
  <si>
    <t>Fleet</t>
  </si>
  <si>
    <t>Code</t>
  </si>
  <si>
    <t>USCom</t>
  </si>
  <si>
    <t>RecN</t>
  </si>
  <si>
    <t>RecS</t>
  </si>
  <si>
    <t>HireN</t>
  </si>
  <si>
    <t>HireS</t>
  </si>
  <si>
    <t>Intl</t>
  </si>
  <si>
    <t>Disc</t>
  </si>
  <si>
    <t>UnRep</t>
  </si>
  <si>
    <t>Recreational North</t>
  </si>
  <si>
    <t>Recreational South</t>
  </si>
  <si>
    <t>For hire South</t>
  </si>
  <si>
    <t>For hire North</t>
  </si>
  <si>
    <t>International</t>
  </si>
  <si>
    <t>Discard</t>
  </si>
  <si>
    <t>Unreported</t>
  </si>
  <si>
    <t>Areas</t>
  </si>
  <si>
    <t>Years</t>
  </si>
  <si>
    <t>NED</t>
  </si>
  <si>
    <t>SE</t>
  </si>
  <si>
    <t>SAR</t>
  </si>
  <si>
    <t>NCFL</t>
  </si>
  <si>
    <t>Catches</t>
  </si>
  <si>
    <t>Effort</t>
  </si>
  <si>
    <t>Length composition</t>
  </si>
  <si>
    <t>Fleet, season, area</t>
  </si>
  <si>
    <t>Fleet, year</t>
  </si>
  <si>
    <t>Selectivity</t>
  </si>
  <si>
    <t>Wilmington down to Mid Florida</t>
  </si>
  <si>
    <t>Challenges with current management approach</t>
  </si>
  <si>
    <t>Proposed solutions</t>
  </si>
  <si>
    <t>Highly migratory; international distribution</t>
  </si>
  <si>
    <t>Data limited with no stock assessment</t>
  </si>
  <si>
    <t>Short-lived and environmentally driven productivity</t>
  </si>
  <si>
    <t>Static management</t>
  </si>
  <si>
    <t>Regional differences in management objectives</t>
  </si>
  <si>
    <t>U.S. management limited to the U.S. EEZ Atlantic Coast</t>
  </si>
  <si>
    <t xml:space="preserve">In years where more dolphin are available to the fishery, catch limits should increase. In years where less dolphin are available to the fishery, catch limits should decrease. </t>
  </si>
  <si>
    <t>Spatial management options for equitable opportunity across states or regions</t>
  </si>
  <si>
    <t>Allocation options to achieve multiple competing objectives</t>
  </si>
  <si>
    <t>Area-specific management</t>
  </si>
  <si>
    <t>Maintain accessibility / opportunity</t>
  </si>
  <si>
    <t>Ecosystem considerations</t>
  </si>
  <si>
    <t>Fishery stability &amp; maximize catches</t>
  </si>
  <si>
    <t>- Mixed for sector-specific considerations (including private rec v. for hire)</t>
  </si>
  <si>
    <t>- Fishery reliability</t>
  </si>
  <si>
    <t>Future recruitment declines 1% per year</t>
  </si>
  <si>
    <t>Future recruitment reduces by 25% after 10 years</t>
  </si>
  <si>
    <t>Future recruitment reduces by 25% after 5 years</t>
  </si>
  <si>
    <t>IUU increases by 1% every year</t>
  </si>
  <si>
    <t>Private recreational fishing</t>
  </si>
  <si>
    <t>Headboat / party boat / charter</t>
  </si>
  <si>
    <t>All</t>
  </si>
  <si>
    <t>Two percent decline in CAR and SFL, 1 percent increase in SE, 2% increase in NC and NE</t>
  </si>
  <si>
    <t>50% greater variability in spatial / seasonal distribution</t>
  </si>
  <si>
    <t>Future recruitment is 50% more variable</t>
  </si>
  <si>
    <t>1% pa. decrease in somatic growth rate (k)</t>
  </si>
  <si>
    <t>1% pa. decrease in condition factor (weight at length)</t>
  </si>
  <si>
    <t>1% pa. increase in catchability reflecting range contraction</t>
  </si>
  <si>
    <t>1% pa. increase in natural mortality rate (all ages)</t>
  </si>
  <si>
    <t>Logistic</t>
  </si>
  <si>
    <t>Logistic (USCom)</t>
  </si>
  <si>
    <t>Data type</t>
  </si>
  <si>
    <t>Base assumption (reference case OM)</t>
  </si>
  <si>
    <t>International annual catches</t>
  </si>
  <si>
    <t>Unreported annual catches</t>
  </si>
  <si>
    <t>Annual discarding</t>
  </si>
  <si>
    <t xml:space="preserve">Unreported annual catches are calculated from the difference between the sum of US commercial, US recreational and international catches and those reconstructed by The Sea Around Us Project. The most recent three years (2020-2022) of unreported caches are based on the mean underreporting from 2010-2019. </t>
  </si>
  <si>
    <t>Length composition data</t>
  </si>
  <si>
    <t>Abundance indices</t>
  </si>
  <si>
    <t xml:space="preserve">The data from the regional study of Schwenke and Buckel (2008) are representative of the wider population of the US South Atlantic region. </t>
  </si>
  <si>
    <t>Measure</t>
  </si>
  <si>
    <t>Term</t>
  </si>
  <si>
    <t>Metric</t>
  </si>
  <si>
    <t>Yield</t>
  </si>
  <si>
    <t>Stability in yield</t>
  </si>
  <si>
    <t xml:space="preserve">Medium </t>
  </si>
  <si>
    <t>Long</t>
  </si>
  <si>
    <t>Short</t>
  </si>
  <si>
    <t>Biomass conservation</t>
  </si>
  <si>
    <t>Mean Yield</t>
  </si>
  <si>
    <t>2025 - 2054</t>
  </si>
  <si>
    <t>2025 - 2034</t>
  </si>
  <si>
    <t>2035 - 2044</t>
  </si>
  <si>
    <t>Mean % change in yield</t>
  </si>
  <si>
    <t>2045 - 2055</t>
  </si>
  <si>
    <t>Prob. SSB &lt; lowest historical</t>
  </si>
  <si>
    <t>Archetype</t>
  </si>
  <si>
    <t>Catch limits are calculated as a constant fraction of the observed index (constant harvest rate)</t>
  </si>
  <si>
    <t>Index target</t>
  </si>
  <si>
    <t>Catches, effort, size limits or bag limits are adjusted to achieve a target index level</t>
  </si>
  <si>
    <t>Index rate input</t>
  </si>
  <si>
    <t>Index rate output</t>
  </si>
  <si>
    <t>Effort, size limits or bag limits are adjusted to obtain a target rate of catch per index level</t>
  </si>
  <si>
    <t xml:space="preserve">Index slope </t>
  </si>
  <si>
    <t>Catch limits, effort, size limits or bag limits are adjusted to obtain a particular schedule of index slopes (e.g. rebuild then stable)</t>
  </si>
  <si>
    <t>Derivative</t>
  </si>
  <si>
    <t>Constrained management change</t>
  </si>
  <si>
    <t>Changes in catch limits, effort etc are constrained between minimum and maximum bounds between management cycles</t>
  </si>
  <si>
    <t>Damped management change</t>
  </si>
  <si>
    <t>Changes in catch limits, effort etc are reduced or exaggerated</t>
  </si>
  <si>
    <t>Maximum extent of management</t>
  </si>
  <si>
    <t>E.g. a maximum cap on catch limits, effort limits, size limits etc</t>
  </si>
  <si>
    <t>Alternative management cycle</t>
  </si>
  <si>
    <t>Updated management advice over a larger or smaller number of time steps</t>
  </si>
  <si>
    <t>Alternative data lag</t>
  </si>
  <si>
    <t>Management advice calculated from data up to a given year prior to advice year</t>
  </si>
  <si>
    <t>Data weighting</t>
  </si>
  <si>
    <t>Alternative emphasis on data streams entering the management procedure (e.g. indices from various areas)</t>
  </si>
  <si>
    <t>Data smoothing</t>
  </si>
  <si>
    <t>Alternative filtering method or strength to reduce noise in input data / increase MP stability</t>
  </si>
  <si>
    <t>Harvest control rule</t>
  </si>
  <si>
    <t>Imposition of a hockey-stick, or similar harvest control rule that throttles exploitation below a particular index level</t>
  </si>
  <si>
    <t>MSE</t>
  </si>
  <si>
    <t xml:space="preserve">Management Strategy Evaluation: a participatory process to establish management procedures (harvest strategies) that are robust to uncertainties in fishery and population dynamics. </t>
  </si>
  <si>
    <t>OM</t>
  </si>
  <si>
    <t>Operating Model: a mathematical description of fishery and population dynamics codified in a simulation framework for the robustness testing of candidate management procedures.</t>
  </si>
  <si>
    <t>MP</t>
  </si>
  <si>
    <t xml:space="preserve">Management Procedure (harvest strategy): a algorithm that calculates management advice from data (real or simulated). </t>
  </si>
  <si>
    <t>CMP</t>
  </si>
  <si>
    <t>Candidate Management Procedure. One of multiple possible management procedures that is to be comparatively evaluated by MSE.</t>
  </si>
  <si>
    <t>MSE framework</t>
  </si>
  <si>
    <t xml:space="preserve">The process, membership, meetings, documents, software package, management objectives and exceptional circumstances protocols that support the adoption of a management procedures. </t>
  </si>
  <si>
    <t xml:space="preserve">Closed-loop simulation </t>
  </si>
  <si>
    <t xml:space="preserve">The engine at the heart of MSE simulations: a codified representation of fishery and population dynamics (operating model) linked to an observation error model (data generation) a candidate management procedure, an implementation model (controls adherence to management advice) which accounts for feedback between the fishery system, data, recommendations and management actions to quantify management performance. </t>
  </si>
  <si>
    <t>TSD</t>
  </si>
  <si>
    <t xml:space="preserve">Trial Specifications Document: a description of the methodology of the MSE framework that ensures reproducibility including all decisions, background information and equations.  </t>
  </si>
  <si>
    <t>Reference Case</t>
  </si>
  <si>
    <t xml:space="preserve">A single operating model familiar to the working group that can be used for didactive purposes such as exploring ideas, demonstrating concepts / sensitivities. </t>
  </si>
  <si>
    <t>Reference Set</t>
  </si>
  <si>
    <t xml:space="preserve">A set of operating models, sometimes represented by an orthogonal grid of operating models that represent the core uncertainties that CMPs should be robust to: the primary basis for the evaluation of CMPs. </t>
  </si>
  <si>
    <t>Robustness Set</t>
  </si>
  <si>
    <t xml:space="preserve">A secondary set of operating models used to further distinguish between CMPs that otherwise perform similarly for the reference set of OMs. These may include hypotheses that have a relatively weak empirical basis or uncertain future conditions for projections. </t>
  </si>
  <si>
    <t>Data guillotine</t>
  </si>
  <si>
    <t xml:space="preserve">A date after which new data will not be accepted for use in operating model or management procedure development. </t>
  </si>
  <si>
    <t>OM conditioning</t>
  </si>
  <si>
    <t xml:space="preserve">The process of fitting operating models to observed data statistically (similar to fitting of stock assessment models). </t>
  </si>
  <si>
    <t>EC Protocols</t>
  </si>
  <si>
    <t xml:space="preserve">Exceptional Circumstances protocols: an empirical check that observed data are consistent with those data expected to be observed when the MP is in use (a basis for detecting departures in systems dynamics away from the operating models for which the MP was demonstrated to be robust). </t>
  </si>
  <si>
    <t>""</t>
  </si>
  <si>
    <t>Indices</t>
  </si>
  <si>
    <t>CAR+FLK</t>
  </si>
  <si>
    <t>CAR+SFL</t>
  </si>
  <si>
    <t>NCA</t>
  </si>
  <si>
    <t>NNC+VBM</t>
  </si>
  <si>
    <t>NC+NE</t>
  </si>
  <si>
    <t>Alternative code</t>
  </si>
  <si>
    <t>Caribbean, South Florida and the Keys</t>
  </si>
  <si>
    <t>Off Caribbean, South Florida and the Keys</t>
  </si>
  <si>
    <t>Off North coast</t>
  </si>
  <si>
    <t>NOAA dataset</t>
  </si>
  <si>
    <t>Derived from a custom 5-area VAST model fitted to U.S. pelagic longline catch and effort data</t>
  </si>
  <si>
    <t xml:space="preserve">NOAA dataset, data are sparse for the International fleet and not used. Not avialable for unreported and discard fleets. </t>
  </si>
  <si>
    <t>CAR+FLK, NCA, NED</t>
  </si>
  <si>
    <t>CAR+FLK, NCFL</t>
  </si>
  <si>
    <t>CAR+FLK, NCA, NNC+VBM</t>
  </si>
  <si>
    <t>M</t>
  </si>
  <si>
    <t>Steep</t>
  </si>
  <si>
    <t>Cat</t>
  </si>
  <si>
    <t>Rec</t>
  </si>
  <si>
    <t>Visc</t>
  </si>
  <si>
    <t>Catch levels of Disc and Unrep</t>
  </si>
  <si>
    <t>Low (c): half NOAA calculated</t>
  </si>
  <si>
    <t>High (C):100% NOAA calculated</t>
  </si>
  <si>
    <t>Low (v): prob. stay. = 0.4</t>
  </si>
  <si>
    <t>High (V) prob. stay. = 0.6</t>
  </si>
  <si>
    <t>Low (r) 75% historical mean levels</t>
  </si>
  <si>
    <t>High (R) 100% historical mean levels</t>
  </si>
  <si>
    <t>Low (m): 0.25 per season</t>
  </si>
  <si>
    <t>High (M): 0.5 per season</t>
  </si>
  <si>
    <t>OM_1</t>
  </si>
  <si>
    <t>OM_2</t>
  </si>
  <si>
    <t>OM_3</t>
  </si>
  <si>
    <t>OM_4</t>
  </si>
  <si>
    <t>OM_5</t>
  </si>
  <si>
    <t>OM_6</t>
  </si>
  <si>
    <t>OM_7</t>
  </si>
  <si>
    <t>OM_8</t>
  </si>
  <si>
    <t>OM_9</t>
  </si>
  <si>
    <t>OM_10</t>
  </si>
  <si>
    <t>OM_11</t>
  </si>
  <si>
    <t>OM_12</t>
  </si>
  <si>
    <t>OM_13</t>
  </si>
  <si>
    <t>OM_14</t>
  </si>
  <si>
    <t>OM_15</t>
  </si>
  <si>
    <t>OM_16</t>
  </si>
  <si>
    <t>OM_17</t>
  </si>
  <si>
    <t>OM_18</t>
  </si>
  <si>
    <t>OM_19</t>
  </si>
  <si>
    <t>OM_20</t>
  </si>
  <si>
    <t>OM_21</t>
  </si>
  <si>
    <t>OM_22</t>
  </si>
  <si>
    <t>OM_23</t>
  </si>
  <si>
    <t>OM_24</t>
  </si>
  <si>
    <t>OM_25</t>
  </si>
  <si>
    <t>OM_26</t>
  </si>
  <si>
    <t>OM_27</t>
  </si>
  <si>
    <t>OM_28</t>
  </si>
  <si>
    <t>OM_29</t>
  </si>
  <si>
    <t>OM_30</t>
  </si>
  <si>
    <t>OM_31</t>
  </si>
  <si>
    <t>OM_32</t>
  </si>
  <si>
    <t>ROM_C1</t>
  </si>
  <si>
    <t>ROM_R1</t>
  </si>
  <si>
    <t>ROM_R2</t>
  </si>
  <si>
    <t>ROM_R3</t>
  </si>
  <si>
    <t xml:space="preserve">ROM_R4 </t>
  </si>
  <si>
    <t>ROM_S1</t>
  </si>
  <si>
    <t>ROM_S2</t>
  </si>
  <si>
    <t>ROM_S3</t>
  </si>
  <si>
    <t>ROM_S4</t>
  </si>
  <si>
    <t>ROM_S5</t>
  </si>
  <si>
    <t>ROM_P1</t>
  </si>
  <si>
    <t>ROM_P2</t>
  </si>
  <si>
    <t>ROM_P3</t>
  </si>
  <si>
    <t>Domed</t>
  </si>
  <si>
    <t>Limitation / new feature / bug</t>
  </si>
  <si>
    <t>1.0, 2.0</t>
  </si>
  <si>
    <t>-</t>
  </si>
  <si>
    <t>Instantaneous natural mortality (M) (annual)</t>
  </si>
  <si>
    <t>Deterministic</t>
  </si>
  <si>
    <t>Lognormal</t>
  </si>
  <si>
    <t>Multivariate lognormal</t>
  </si>
  <si>
    <t>Fishery discard mortality rate</t>
  </si>
  <si>
    <t>Beverton-Holt Steepness</t>
  </si>
  <si>
    <t>0.7, 0.95</t>
  </si>
  <si>
    <t>Beta</t>
  </si>
  <si>
    <t>Schwenke and Buckel (2008)</t>
  </si>
  <si>
    <t>Rudershausen et al. (2019)</t>
  </si>
  <si>
    <t>"</t>
  </si>
  <si>
    <t>Weight-length parameter a (mm to kg)</t>
  </si>
  <si>
    <t>Weight-length parameter b (mm to kg)</t>
  </si>
  <si>
    <t>Length at 50% spawning fraction (L50) (female) (mm)</t>
  </si>
  <si>
    <t>von Bertalanffy age at length zero, t0 (male and female combined) (years)</t>
  </si>
  <si>
    <t>von Bertalanffy maximum growth rate, K (male and female combined) (L-infinity per year)</t>
  </si>
  <si>
    <t xml:space="preserve">Coefficient of variation in lengths at age. </t>
  </si>
  <si>
    <t>Derived from data of Schwenke and Buckel (2008)</t>
  </si>
  <si>
    <t>See Section 'Operating Models: Reference Grid'</t>
  </si>
  <si>
    <t>Parameter</t>
  </si>
  <si>
    <t>Value (mean)</t>
  </si>
  <si>
    <t>Distribution</t>
  </si>
  <si>
    <t>Coeff. Var.</t>
  </si>
  <si>
    <t>Reference</t>
  </si>
  <si>
    <t>8.2E-8</t>
  </si>
  <si>
    <t>Data Input</t>
  </si>
  <si>
    <t>Likelihood function</t>
  </si>
  <si>
    <t>Catch-length</t>
  </si>
  <si>
    <t>Precision</t>
  </si>
  <si>
    <t>Effective sample size of mean 30 across years</t>
  </si>
  <si>
    <t>Catch</t>
  </si>
  <si>
    <t>Annual CV (0.05 - 0.77)</t>
  </si>
  <si>
    <t>CV US Comm: 0.05</t>
  </si>
  <si>
    <t>CV Rec/Hire Comm: 0.1</t>
  </si>
  <si>
    <t>CV Int, Disc, Unrep: 0.15</t>
  </si>
  <si>
    <t>Multinomial</t>
  </si>
  <si>
    <t>Stock-recruitment relationship</t>
  </si>
  <si>
    <t>Beverton-Holt</t>
  </si>
  <si>
    <t>Somatic growth</t>
  </si>
  <si>
    <t>von Bertalanffy</t>
  </si>
  <si>
    <t>Initial depletion</t>
  </si>
  <si>
    <t>Equilibrium catch</t>
  </si>
  <si>
    <t>Logistic length ('flat-topped')</t>
  </si>
  <si>
    <t>Selectivity: RecN, RecS, HireN, HireS</t>
  </si>
  <si>
    <t>Double normal length ('dome-shaped')</t>
  </si>
  <si>
    <t>Model attribute</t>
  </si>
  <si>
    <t>Configuration</t>
  </si>
  <si>
    <t>Recruitment Deviations</t>
  </si>
  <si>
    <t>Selectivity Parameters</t>
  </si>
  <si>
    <t>Apical F</t>
  </si>
  <si>
    <t>Unfished recruitment</t>
  </si>
  <si>
    <t>Catchability (VAST)</t>
  </si>
  <si>
    <t>N</t>
  </si>
  <si>
    <t>Details</t>
  </si>
  <si>
    <t>148 season-years, 8 fleets (note some season-fleets have zero catches and F is not estimated)</t>
  </si>
  <si>
    <t>Recruitments 1990 - 2021.75 (first 16 and last 4 seasons are not estimated)</t>
  </si>
  <si>
    <t>Scales VAST index to total biomass</t>
  </si>
  <si>
    <t>4 Rec fleets are 3 parameter dome (12) plus a 2 parameter logistic for USCom</t>
  </si>
  <si>
    <t>2.3 (harvest rate of 90%)</t>
  </si>
  <si>
    <t>Standard deviation in log recruitment deviations ('sigma-R')</t>
  </si>
  <si>
    <t>Maximum seasonal exploitation rate (most selected age class)</t>
  </si>
  <si>
    <t>Total</t>
  </si>
  <si>
    <t>2.0 (nearly freely estimated)</t>
  </si>
  <si>
    <t>VAST survey selectivity</t>
  </si>
  <si>
    <t>Mirrors USCom</t>
  </si>
  <si>
    <t>Selectivity: USCom (Intl, Disc, Unrep)</t>
  </si>
  <si>
    <t>Maximum age classes (seasons)</t>
  </si>
  <si>
    <t>Yes</t>
  </si>
  <si>
    <t xml:space="preserve">Include age-zero calculation </t>
  </si>
  <si>
    <t>Include 'plus group' calculation</t>
  </si>
  <si>
    <t>No</t>
  </si>
  <si>
    <t>VAST Index (biomass)</t>
  </si>
  <si>
    <t>ROM_F1</t>
  </si>
  <si>
    <t>ROM_F2</t>
  </si>
  <si>
    <t>Catches halved for non-US fleets in area 1 (Florida and Caribbean)</t>
  </si>
  <si>
    <t>ROM_C2</t>
  </si>
  <si>
    <t>Recruitment</t>
  </si>
  <si>
    <t>Spatial</t>
  </si>
  <si>
    <t>Productivity</t>
  </si>
  <si>
    <t>Fishery</t>
  </si>
  <si>
    <t>33% shorter selectivity of all fleets (inflection point)</t>
  </si>
  <si>
    <t xml:space="preserve">20% target probability of staying </t>
  </si>
  <si>
    <t xml:space="preserve">80% target probability of staying </t>
  </si>
  <si>
    <t>Projected shift towards 33% younger selectivity of all fleets (inflection point)</t>
  </si>
  <si>
    <t>Commercial ACL</t>
  </si>
  <si>
    <t>1,719,953 lbs</t>
  </si>
  <si>
    <t>22,850,811 lbs</t>
  </si>
  <si>
    <t>54 fish</t>
  </si>
  <si>
    <t>Min size</t>
  </si>
  <si>
    <t>20" in SC, GA and FL</t>
  </si>
  <si>
    <t>Rec. trip limit</t>
  </si>
  <si>
    <t>Rec. ACL</t>
  </si>
  <si>
    <t>Management Lever</t>
  </si>
  <si>
    <t>Level</t>
  </si>
  <si>
    <t>Empirical (indicator-based) Management Procedure will allow for adaptive management</t>
  </si>
  <si>
    <t>International catches from the FAO database are accurate.</t>
  </si>
  <si>
    <t>The lengths are representative of the fish that are landed.</t>
  </si>
  <si>
    <t xml:space="preserve">The nominal catch and effort data of the US commercial longline fishery are indicative of local fish density. Accounting for available spatial and seasonal covariates these data are representative of regional and seasonal vulnerable abundance. </t>
  </si>
  <si>
    <t>Maturity and somatic growth data</t>
  </si>
  <si>
    <t>Prior</t>
  </si>
  <si>
    <t xml:space="preserve">Uninformative Lognormal (St.Dev = 3) </t>
  </si>
  <si>
    <t>None</t>
  </si>
  <si>
    <t>Lognormal (St. Dev = 2)</t>
  </si>
  <si>
    <t>148 season-years + n age classes -1</t>
  </si>
  <si>
    <t xml:space="preserve">Based on FAO database. Assumed to have the same seasonal distribution as the USCom fleet. </t>
  </si>
  <si>
    <t xml:space="preserve">Based on Sea Around Us database. Assumed to have the same seasonal distribution as the USCom fleet. </t>
  </si>
  <si>
    <t>Regionally mixed on willing to accept more restrictions</t>
  </si>
  <si>
    <t>- South open to reducing trip/vessel limits</t>
  </si>
  <si>
    <t>- South Pro (or mixed) size limits - open to explore what is viable for the charter fishery</t>
  </si>
  <si>
    <t>- North maintain status quo or reduce restrictions</t>
  </si>
  <si>
    <t>- North prefer no size limits</t>
  </si>
  <si>
    <t xml:space="preserve">The discarding fleet comes from The Sea Around Us Project and is assumed to have the same seasonality as the US commercial fleet. </t>
  </si>
  <si>
    <t xml:space="preserve">-2.6E-2 </t>
  </si>
  <si>
    <t>2.5E-2</t>
  </si>
  <si>
    <t>Wilmington to Maine</t>
  </si>
  <si>
    <t>USA commercial landings</t>
  </si>
  <si>
    <t>All US commercial landings (pelagic longline gear and other gear types)</t>
  </si>
  <si>
    <t>von Bertalanffy asymptotic length, L-infinity (male and female combined) (mm)</t>
  </si>
  <si>
    <t>Current rec dev projections do not start from the last deviation (AC not carried forward)</t>
  </si>
  <si>
    <t>Terminal deviation AC propagation for rec devs</t>
  </si>
  <si>
    <t xml:space="preserve">Possible 2 area </t>
  </si>
  <si>
    <t>Extent to 2 area model with transitions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</si>
</sst>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color rgb="FF00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1" xfId="0" applyFont="1" applyBorder="1" applyAlignment="1">
      <alignment vertical="center" wrapText="1"/>
    </xf>
    <xf numFmtId="0" fontId="3" fillId="0" borderId="0" xfId="1"/>
    <xf numFmtId="49" fontId="0" fillId="0" borderId="0" xfId="0" applyNumberFormat="1"/>
    <xf numFmtId="0" fontId="0" fillId="0" borderId="0" xfId="0" applyAlignment="1">
      <alignment horizontal="left"/>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2B60A-BF4A-49C5-86BC-AAE256712F35}">
  <dimension ref="A1:B12"/>
  <sheetViews>
    <sheetView tabSelected="1" workbookViewId="0">
      <selection activeCell="E19" sqref="E19"/>
    </sheetView>
  </sheetViews>
  <sheetFormatPr defaultRowHeight="14.5" x14ac:dyDescent="0.35"/>
  <cols>
    <col min="1" max="1" width="53.36328125" customWidth="1"/>
    <col min="2" max="2" width="39.7265625" customWidth="1"/>
  </cols>
  <sheetData>
    <row r="1" spans="1:2" x14ac:dyDescent="0.35">
      <c r="A1" s="1" t="s">
        <v>229</v>
      </c>
      <c r="B1" s="1" t="s">
        <v>11</v>
      </c>
    </row>
    <row r="2" spans="1:2" x14ac:dyDescent="0.35">
      <c r="A2" t="s">
        <v>351</v>
      </c>
      <c r="B2" t="s">
        <v>350</v>
      </c>
    </row>
    <row r="3" spans="1:2" x14ac:dyDescent="0.35">
      <c r="A3" t="s">
        <v>352</v>
      </c>
      <c r="B3" t="s">
        <v>353</v>
      </c>
    </row>
    <row r="12" spans="1:2" x14ac:dyDescent="0.35">
      <c r="B12"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0D609-91F9-4C15-AAA9-F73651BACC8D}">
  <dimension ref="A1:A7"/>
  <sheetViews>
    <sheetView workbookViewId="0">
      <selection activeCell="H21" sqref="H21"/>
    </sheetView>
  </sheetViews>
  <sheetFormatPr defaultRowHeight="14.5" x14ac:dyDescent="0.35"/>
  <cols>
    <col min="1" max="1" width="42" customWidth="1"/>
  </cols>
  <sheetData>
    <row r="1" spans="1:1" x14ac:dyDescent="0.35">
      <c r="A1" t="s">
        <v>42</v>
      </c>
    </row>
    <row r="2" spans="1:1" x14ac:dyDescent="0.35">
      <c r="A2" t="s">
        <v>44</v>
      </c>
    </row>
    <row r="3" spans="1:1" x14ac:dyDescent="0.35">
      <c r="A3" t="s">
        <v>45</v>
      </c>
    </row>
    <row r="4" spans="1:1" x14ac:dyDescent="0.35">
      <c r="A4" t="s">
        <v>46</v>
      </c>
    </row>
    <row r="5" spans="1:1" x14ac:dyDescent="0.35">
      <c r="A5" t="s">
        <v>47</v>
      </c>
    </row>
    <row r="6" spans="1:1" x14ac:dyDescent="0.35">
      <c r="A6" t="s">
        <v>48</v>
      </c>
    </row>
    <row r="7" spans="1:1" x14ac:dyDescent="0.35">
      <c r="A7"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84CD2-D73D-4BCF-9E66-EB835B19C48C}">
  <dimension ref="A1:A11"/>
  <sheetViews>
    <sheetView workbookViewId="0">
      <selection sqref="A1:A11"/>
    </sheetView>
  </sheetViews>
  <sheetFormatPr defaultRowHeight="14.5" x14ac:dyDescent="0.35"/>
  <sheetData>
    <row r="1" spans="1:1" x14ac:dyDescent="0.35">
      <c r="A1" t="s">
        <v>338</v>
      </c>
    </row>
    <row r="2" spans="1:1" x14ac:dyDescent="0.35">
      <c r="A2" s="6" t="s">
        <v>339</v>
      </c>
    </row>
    <row r="3" spans="1:1" x14ac:dyDescent="0.35">
      <c r="A3" s="6" t="s">
        <v>340</v>
      </c>
    </row>
    <row r="4" spans="1:1" x14ac:dyDescent="0.35">
      <c r="A4" s="6" t="s">
        <v>341</v>
      </c>
    </row>
    <row r="5" spans="1:1" x14ac:dyDescent="0.35">
      <c r="A5" s="6" t="s">
        <v>342</v>
      </c>
    </row>
    <row r="6" spans="1:1" x14ac:dyDescent="0.35">
      <c r="A6" t="s">
        <v>53</v>
      </c>
    </row>
    <row r="7" spans="1:1" x14ac:dyDescent="0.35">
      <c r="A7" s="6" t="s">
        <v>57</v>
      </c>
    </row>
    <row r="8" spans="1:1" x14ac:dyDescent="0.35">
      <c r="A8" t="s">
        <v>54</v>
      </c>
    </row>
    <row r="9" spans="1:1" x14ac:dyDescent="0.35">
      <c r="A9" s="6" t="s">
        <v>58</v>
      </c>
    </row>
    <row r="10" spans="1:1" x14ac:dyDescent="0.35">
      <c r="A10" t="s">
        <v>55</v>
      </c>
    </row>
    <row r="11" spans="1:1" x14ac:dyDescent="0.35">
      <c r="A11"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E3CA-ADCA-4689-A286-6277FDD311C5}">
  <dimension ref="A1:C6"/>
  <sheetViews>
    <sheetView workbookViewId="0">
      <selection activeCell="D12" sqref="D12"/>
    </sheetView>
  </sheetViews>
  <sheetFormatPr defaultRowHeight="14.5" x14ac:dyDescent="0.35"/>
  <cols>
    <col min="1" max="3" width="22.54296875" customWidth="1"/>
  </cols>
  <sheetData>
    <row r="1" spans="1:3" x14ac:dyDescent="0.35">
      <c r="A1" t="s">
        <v>0</v>
      </c>
      <c r="B1" t="s">
        <v>1</v>
      </c>
      <c r="C1" t="s">
        <v>2</v>
      </c>
    </row>
    <row r="2" spans="1:3" x14ac:dyDescent="0.35">
      <c r="A2" t="s">
        <v>3</v>
      </c>
      <c r="B2" t="s">
        <v>181</v>
      </c>
      <c r="C2" t="s">
        <v>182</v>
      </c>
    </row>
    <row r="3" spans="1:3" x14ac:dyDescent="0.35">
      <c r="A3" t="s">
        <v>5</v>
      </c>
      <c r="B3" t="s">
        <v>6</v>
      </c>
      <c r="C3" t="s">
        <v>7</v>
      </c>
    </row>
    <row r="4" spans="1:3" x14ac:dyDescent="0.35">
      <c r="A4" t="s">
        <v>174</v>
      </c>
      <c r="B4" t="s">
        <v>175</v>
      </c>
      <c r="C4" t="s">
        <v>176</v>
      </c>
    </row>
    <row r="5" spans="1:3" x14ac:dyDescent="0.35">
      <c r="A5" t="s">
        <v>4</v>
      </c>
      <c r="B5" t="s">
        <v>179</v>
      </c>
      <c r="C5" t="s">
        <v>180</v>
      </c>
    </row>
    <row r="6" spans="1:3" x14ac:dyDescent="0.35">
      <c r="A6" t="s">
        <v>8</v>
      </c>
      <c r="B6" t="s">
        <v>177</v>
      </c>
      <c r="C6" t="s">
        <v>178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CF4D-5333-407A-A26F-9917FF960A73}">
  <dimension ref="A1:F33"/>
  <sheetViews>
    <sheetView workbookViewId="0">
      <selection activeCell="K11" sqref="K11"/>
    </sheetView>
  </sheetViews>
  <sheetFormatPr defaultRowHeight="14.5" x14ac:dyDescent="0.35"/>
  <sheetData>
    <row r="1" spans="1:6" x14ac:dyDescent="0.35">
      <c r="A1" t="s">
        <v>13</v>
      </c>
      <c r="B1" t="s">
        <v>169</v>
      </c>
      <c r="C1" t="s">
        <v>170</v>
      </c>
      <c r="D1" t="s">
        <v>171</v>
      </c>
      <c r="E1" t="s">
        <v>172</v>
      </c>
      <c r="F1" t="s">
        <v>173</v>
      </c>
    </row>
    <row r="2" spans="1:6" x14ac:dyDescent="0.35">
      <c r="A2" t="s">
        <v>183</v>
      </c>
      <c r="B2">
        <v>0.25</v>
      </c>
      <c r="C2">
        <v>0.7</v>
      </c>
      <c r="D2">
        <v>0.5</v>
      </c>
      <c r="E2">
        <v>0.75</v>
      </c>
      <c r="F2">
        <v>60</v>
      </c>
    </row>
    <row r="3" spans="1:6" x14ac:dyDescent="0.35">
      <c r="A3" t="s">
        <v>184</v>
      </c>
      <c r="B3">
        <v>0.5</v>
      </c>
      <c r="C3">
        <v>0.7</v>
      </c>
      <c r="D3">
        <v>0.5</v>
      </c>
      <c r="E3">
        <v>0.75</v>
      </c>
      <c r="F3">
        <v>60</v>
      </c>
    </row>
    <row r="4" spans="1:6" x14ac:dyDescent="0.35">
      <c r="A4" t="s">
        <v>185</v>
      </c>
      <c r="B4">
        <v>0.25</v>
      </c>
      <c r="C4">
        <v>0.95</v>
      </c>
      <c r="D4">
        <v>0.5</v>
      </c>
      <c r="E4">
        <v>0.75</v>
      </c>
      <c r="F4">
        <v>60</v>
      </c>
    </row>
    <row r="5" spans="1:6" x14ac:dyDescent="0.35">
      <c r="A5" t="s">
        <v>186</v>
      </c>
      <c r="B5">
        <v>0.5</v>
      </c>
      <c r="C5">
        <v>0.95</v>
      </c>
      <c r="D5">
        <v>0.5</v>
      </c>
      <c r="E5">
        <v>0.75</v>
      </c>
      <c r="F5">
        <v>60</v>
      </c>
    </row>
    <row r="6" spans="1:6" x14ac:dyDescent="0.35">
      <c r="A6" t="s">
        <v>187</v>
      </c>
      <c r="B6">
        <v>0.25</v>
      </c>
      <c r="C6">
        <v>0.7</v>
      </c>
      <c r="D6">
        <v>1</v>
      </c>
      <c r="E6">
        <v>0.75</v>
      </c>
      <c r="F6">
        <v>60</v>
      </c>
    </row>
    <row r="7" spans="1:6" x14ac:dyDescent="0.35">
      <c r="A7" t="s">
        <v>188</v>
      </c>
      <c r="B7">
        <v>0.5</v>
      </c>
      <c r="C7">
        <v>0.7</v>
      </c>
      <c r="D7">
        <v>1</v>
      </c>
      <c r="E7">
        <v>0.75</v>
      </c>
      <c r="F7">
        <v>60</v>
      </c>
    </row>
    <row r="8" spans="1:6" x14ac:dyDescent="0.35">
      <c r="A8" t="s">
        <v>189</v>
      </c>
      <c r="B8">
        <v>0.25</v>
      </c>
      <c r="C8">
        <v>0.95</v>
      </c>
      <c r="D8">
        <v>1</v>
      </c>
      <c r="E8">
        <v>0.75</v>
      </c>
      <c r="F8">
        <v>60</v>
      </c>
    </row>
    <row r="9" spans="1:6" x14ac:dyDescent="0.35">
      <c r="A9" t="s">
        <v>190</v>
      </c>
      <c r="B9">
        <v>0.5</v>
      </c>
      <c r="C9">
        <v>0.95</v>
      </c>
      <c r="D9">
        <v>1</v>
      </c>
      <c r="E9">
        <v>0.75</v>
      </c>
      <c r="F9">
        <v>60</v>
      </c>
    </row>
    <row r="10" spans="1:6" x14ac:dyDescent="0.35">
      <c r="A10" t="s">
        <v>191</v>
      </c>
      <c r="B10">
        <v>0.25</v>
      </c>
      <c r="C10">
        <v>0.7</v>
      </c>
      <c r="D10">
        <v>0.5</v>
      </c>
      <c r="E10">
        <v>1</v>
      </c>
      <c r="F10">
        <v>60</v>
      </c>
    </row>
    <row r="11" spans="1:6" x14ac:dyDescent="0.35">
      <c r="A11" t="s">
        <v>192</v>
      </c>
      <c r="B11">
        <v>0.5</v>
      </c>
      <c r="C11">
        <v>0.7</v>
      </c>
      <c r="D11">
        <v>0.5</v>
      </c>
      <c r="E11">
        <v>1</v>
      </c>
      <c r="F11">
        <v>60</v>
      </c>
    </row>
    <row r="12" spans="1:6" x14ac:dyDescent="0.35">
      <c r="A12" t="s">
        <v>193</v>
      </c>
      <c r="B12">
        <v>0.25</v>
      </c>
      <c r="C12">
        <v>0.95</v>
      </c>
      <c r="D12">
        <v>0.5</v>
      </c>
      <c r="E12">
        <v>1</v>
      </c>
      <c r="F12">
        <v>60</v>
      </c>
    </row>
    <row r="13" spans="1:6" x14ac:dyDescent="0.35">
      <c r="A13" t="s">
        <v>194</v>
      </c>
      <c r="B13">
        <v>0.5</v>
      </c>
      <c r="C13">
        <v>0.95</v>
      </c>
      <c r="D13">
        <v>0.5</v>
      </c>
      <c r="E13">
        <v>1</v>
      </c>
      <c r="F13">
        <v>60</v>
      </c>
    </row>
    <row r="14" spans="1:6" x14ac:dyDescent="0.35">
      <c r="A14" t="s">
        <v>195</v>
      </c>
      <c r="B14">
        <v>0.25</v>
      </c>
      <c r="C14">
        <v>0.7</v>
      </c>
      <c r="D14">
        <v>1</v>
      </c>
      <c r="E14">
        <v>1</v>
      </c>
      <c r="F14">
        <v>60</v>
      </c>
    </row>
    <row r="15" spans="1:6" x14ac:dyDescent="0.35">
      <c r="A15" t="s">
        <v>196</v>
      </c>
      <c r="B15">
        <v>0.5</v>
      </c>
      <c r="C15">
        <v>0.7</v>
      </c>
      <c r="D15">
        <v>1</v>
      </c>
      <c r="E15">
        <v>1</v>
      </c>
      <c r="F15">
        <v>60</v>
      </c>
    </row>
    <row r="16" spans="1:6" x14ac:dyDescent="0.35">
      <c r="A16" t="s">
        <v>197</v>
      </c>
      <c r="B16">
        <v>0.25</v>
      </c>
      <c r="C16">
        <v>0.95</v>
      </c>
      <c r="D16">
        <v>1</v>
      </c>
      <c r="E16">
        <v>1</v>
      </c>
      <c r="F16">
        <v>60</v>
      </c>
    </row>
    <row r="17" spans="1:6" x14ac:dyDescent="0.35">
      <c r="A17" t="s">
        <v>198</v>
      </c>
      <c r="B17">
        <v>0.5</v>
      </c>
      <c r="C17">
        <v>0.95</v>
      </c>
      <c r="D17">
        <v>1</v>
      </c>
      <c r="E17">
        <v>1</v>
      </c>
      <c r="F17">
        <v>60</v>
      </c>
    </row>
    <row r="18" spans="1:6" x14ac:dyDescent="0.35">
      <c r="A18" t="s">
        <v>199</v>
      </c>
      <c r="B18">
        <v>0.25</v>
      </c>
      <c r="C18">
        <v>0.7</v>
      </c>
      <c r="D18">
        <v>0.5</v>
      </c>
      <c r="E18">
        <v>0.75</v>
      </c>
      <c r="F18">
        <v>40</v>
      </c>
    </row>
    <row r="19" spans="1:6" x14ac:dyDescent="0.35">
      <c r="A19" t="s">
        <v>200</v>
      </c>
      <c r="B19">
        <v>0.5</v>
      </c>
      <c r="C19">
        <v>0.7</v>
      </c>
      <c r="D19">
        <v>0.5</v>
      </c>
      <c r="E19">
        <v>0.75</v>
      </c>
      <c r="F19">
        <v>40</v>
      </c>
    </row>
    <row r="20" spans="1:6" x14ac:dyDescent="0.35">
      <c r="A20" t="s">
        <v>201</v>
      </c>
      <c r="B20">
        <v>0.25</v>
      </c>
      <c r="C20">
        <v>0.95</v>
      </c>
      <c r="D20">
        <v>0.5</v>
      </c>
      <c r="E20">
        <v>0.75</v>
      </c>
      <c r="F20">
        <v>40</v>
      </c>
    </row>
    <row r="21" spans="1:6" x14ac:dyDescent="0.35">
      <c r="A21" t="s">
        <v>202</v>
      </c>
      <c r="B21">
        <v>0.5</v>
      </c>
      <c r="C21">
        <v>0.95</v>
      </c>
      <c r="D21">
        <v>0.5</v>
      </c>
      <c r="E21">
        <v>0.75</v>
      </c>
      <c r="F21">
        <v>40</v>
      </c>
    </row>
    <row r="22" spans="1:6" x14ac:dyDescent="0.35">
      <c r="A22" t="s">
        <v>203</v>
      </c>
      <c r="B22">
        <v>0.25</v>
      </c>
      <c r="C22">
        <v>0.7</v>
      </c>
      <c r="D22">
        <v>1</v>
      </c>
      <c r="E22">
        <v>0.75</v>
      </c>
      <c r="F22">
        <v>40</v>
      </c>
    </row>
    <row r="23" spans="1:6" x14ac:dyDescent="0.35">
      <c r="A23" t="s">
        <v>204</v>
      </c>
      <c r="B23">
        <v>0.5</v>
      </c>
      <c r="C23">
        <v>0.7</v>
      </c>
      <c r="D23">
        <v>1</v>
      </c>
      <c r="E23">
        <v>0.75</v>
      </c>
      <c r="F23">
        <v>40</v>
      </c>
    </row>
    <row r="24" spans="1:6" x14ac:dyDescent="0.35">
      <c r="A24" t="s">
        <v>205</v>
      </c>
      <c r="B24">
        <v>0.25</v>
      </c>
      <c r="C24">
        <v>0.95</v>
      </c>
      <c r="D24">
        <v>1</v>
      </c>
      <c r="E24">
        <v>0.75</v>
      </c>
      <c r="F24">
        <v>40</v>
      </c>
    </row>
    <row r="25" spans="1:6" x14ac:dyDescent="0.35">
      <c r="A25" t="s">
        <v>206</v>
      </c>
      <c r="B25">
        <v>0.5</v>
      </c>
      <c r="C25">
        <v>0.95</v>
      </c>
      <c r="D25">
        <v>1</v>
      </c>
      <c r="E25">
        <v>0.75</v>
      </c>
      <c r="F25">
        <v>40</v>
      </c>
    </row>
    <row r="26" spans="1:6" x14ac:dyDescent="0.35">
      <c r="A26" t="s">
        <v>207</v>
      </c>
      <c r="B26">
        <v>0.25</v>
      </c>
      <c r="C26">
        <v>0.7</v>
      </c>
      <c r="D26">
        <v>0.5</v>
      </c>
      <c r="E26">
        <v>1</v>
      </c>
      <c r="F26">
        <v>40</v>
      </c>
    </row>
    <row r="27" spans="1:6" x14ac:dyDescent="0.35">
      <c r="A27" t="s">
        <v>208</v>
      </c>
      <c r="B27">
        <v>0.5</v>
      </c>
      <c r="C27">
        <v>0.7</v>
      </c>
      <c r="D27">
        <v>0.5</v>
      </c>
      <c r="E27">
        <v>1</v>
      </c>
      <c r="F27">
        <v>40</v>
      </c>
    </row>
    <row r="28" spans="1:6" x14ac:dyDescent="0.35">
      <c r="A28" t="s">
        <v>209</v>
      </c>
      <c r="B28">
        <v>0.25</v>
      </c>
      <c r="C28">
        <v>0.95</v>
      </c>
      <c r="D28">
        <v>0.5</v>
      </c>
      <c r="E28">
        <v>1</v>
      </c>
      <c r="F28">
        <v>40</v>
      </c>
    </row>
    <row r="29" spans="1:6" x14ac:dyDescent="0.35">
      <c r="A29" t="s">
        <v>210</v>
      </c>
      <c r="B29">
        <v>0.5</v>
      </c>
      <c r="C29">
        <v>0.95</v>
      </c>
      <c r="D29">
        <v>0.5</v>
      </c>
      <c r="E29">
        <v>1</v>
      </c>
      <c r="F29">
        <v>40</v>
      </c>
    </row>
    <row r="30" spans="1:6" x14ac:dyDescent="0.35">
      <c r="A30" t="s">
        <v>211</v>
      </c>
      <c r="B30">
        <v>0.25</v>
      </c>
      <c r="C30">
        <v>0.7</v>
      </c>
      <c r="D30">
        <v>1</v>
      </c>
      <c r="E30">
        <v>1</v>
      </c>
      <c r="F30">
        <v>40</v>
      </c>
    </row>
    <row r="31" spans="1:6" x14ac:dyDescent="0.35">
      <c r="A31" t="s">
        <v>212</v>
      </c>
      <c r="B31">
        <v>0.5</v>
      </c>
      <c r="C31">
        <v>0.7</v>
      </c>
      <c r="D31">
        <v>1</v>
      </c>
      <c r="E31">
        <v>1</v>
      </c>
      <c r="F31">
        <v>40</v>
      </c>
    </row>
    <row r="32" spans="1:6" x14ac:dyDescent="0.35">
      <c r="A32" t="s">
        <v>213</v>
      </c>
      <c r="B32">
        <v>0.25</v>
      </c>
      <c r="C32">
        <v>0.95</v>
      </c>
      <c r="D32">
        <v>1</v>
      </c>
      <c r="E32">
        <v>1</v>
      </c>
      <c r="F32">
        <v>40</v>
      </c>
    </row>
    <row r="33" spans="1:6" x14ac:dyDescent="0.35">
      <c r="A33" t="s">
        <v>214</v>
      </c>
      <c r="B33">
        <v>0.5</v>
      </c>
      <c r="C33">
        <v>0.95</v>
      </c>
      <c r="D33">
        <v>1</v>
      </c>
      <c r="E33">
        <v>1</v>
      </c>
      <c r="F33">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60A6-0824-4E71-80B5-1B4ED9B6FA8E}">
  <dimension ref="A1:C6"/>
  <sheetViews>
    <sheetView workbookViewId="0">
      <selection activeCell="B10" sqref="B10"/>
    </sheetView>
  </sheetViews>
  <sheetFormatPr defaultRowHeight="14.5" x14ac:dyDescent="0.35"/>
  <cols>
    <col min="1" max="1" width="18.1796875" customWidth="1"/>
    <col min="2" max="2" width="16.81640625" customWidth="1"/>
    <col min="3" max="3" width="37.81640625" customWidth="1"/>
  </cols>
  <sheetData>
    <row r="1" spans="1:3" x14ac:dyDescent="0.35">
      <c r="A1" t="s">
        <v>257</v>
      </c>
      <c r="B1" t="s">
        <v>258</v>
      </c>
      <c r="C1" t="s">
        <v>260</v>
      </c>
    </row>
    <row r="2" spans="1:3" x14ac:dyDescent="0.35">
      <c r="A2" t="s">
        <v>303</v>
      </c>
      <c r="B2" t="s">
        <v>234</v>
      </c>
      <c r="C2" t="s">
        <v>263</v>
      </c>
    </row>
    <row r="3" spans="1:3" x14ac:dyDescent="0.35">
      <c r="A3" t="s">
        <v>259</v>
      </c>
      <c r="B3" t="s">
        <v>267</v>
      </c>
      <c r="C3" t="s">
        <v>261</v>
      </c>
    </row>
    <row r="4" spans="1:3" x14ac:dyDescent="0.35">
      <c r="A4" t="s">
        <v>262</v>
      </c>
      <c r="B4" t="s">
        <v>234</v>
      </c>
      <c r="C4" t="s">
        <v>264</v>
      </c>
    </row>
    <row r="5" spans="1:3" x14ac:dyDescent="0.35">
      <c r="A5" t="s">
        <v>231</v>
      </c>
      <c r="B5" t="s">
        <v>231</v>
      </c>
      <c r="C5" t="s">
        <v>265</v>
      </c>
    </row>
    <row r="6" spans="1:3" x14ac:dyDescent="0.35">
      <c r="A6" t="s">
        <v>231</v>
      </c>
      <c r="B6" t="s">
        <v>231</v>
      </c>
      <c r="C6" t="s">
        <v>266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A8BC-C366-49A3-87C6-4B9DEB0D3E33}">
  <dimension ref="A1:B12"/>
  <sheetViews>
    <sheetView workbookViewId="0">
      <selection activeCell="C13" sqref="C13"/>
    </sheetView>
  </sheetViews>
  <sheetFormatPr defaultRowHeight="14.5" x14ac:dyDescent="0.35"/>
  <cols>
    <col min="1" max="1" width="51.1796875" customWidth="1"/>
    <col min="2" max="2" width="33.453125" style="5" customWidth="1"/>
  </cols>
  <sheetData>
    <row r="1" spans="1:2" x14ac:dyDescent="0.35">
      <c r="A1" t="s">
        <v>277</v>
      </c>
      <c r="B1" s="5" t="s">
        <v>278</v>
      </c>
    </row>
    <row r="2" spans="1:2" x14ac:dyDescent="0.35">
      <c r="A2" t="s">
        <v>268</v>
      </c>
      <c r="B2" s="5" t="s">
        <v>269</v>
      </c>
    </row>
    <row r="3" spans="1:2" x14ac:dyDescent="0.35">
      <c r="A3" t="s">
        <v>270</v>
      </c>
      <c r="B3" s="5" t="s">
        <v>271</v>
      </c>
    </row>
    <row r="4" spans="1:2" x14ac:dyDescent="0.35">
      <c r="A4" t="s">
        <v>272</v>
      </c>
      <c r="B4" s="5" t="s">
        <v>273</v>
      </c>
    </row>
    <row r="5" spans="1:2" x14ac:dyDescent="0.35">
      <c r="A5" t="s">
        <v>297</v>
      </c>
      <c r="B5" s="5" t="s">
        <v>274</v>
      </c>
    </row>
    <row r="6" spans="1:2" x14ac:dyDescent="0.35">
      <c r="A6" t="s">
        <v>275</v>
      </c>
      <c r="B6" s="5" t="s">
        <v>276</v>
      </c>
    </row>
    <row r="7" spans="1:2" x14ac:dyDescent="0.35">
      <c r="A7" t="s">
        <v>295</v>
      </c>
      <c r="B7" s="5" t="s">
        <v>296</v>
      </c>
    </row>
    <row r="8" spans="1:2" x14ac:dyDescent="0.35">
      <c r="A8" t="s">
        <v>292</v>
      </c>
      <c r="B8" s="5" t="s">
        <v>290</v>
      </c>
    </row>
    <row r="9" spans="1:2" x14ac:dyDescent="0.35">
      <c r="A9" t="s">
        <v>291</v>
      </c>
      <c r="B9" s="5" t="s">
        <v>294</v>
      </c>
    </row>
    <row r="10" spans="1:2" x14ac:dyDescent="0.35">
      <c r="A10" t="s">
        <v>298</v>
      </c>
      <c r="B10" s="5">
        <v>16</v>
      </c>
    </row>
    <row r="11" spans="1:2" x14ac:dyDescent="0.35">
      <c r="A11" t="s">
        <v>300</v>
      </c>
      <c r="B11" s="5" t="s">
        <v>299</v>
      </c>
    </row>
    <row r="12" spans="1:2" x14ac:dyDescent="0.35">
      <c r="A12" t="s">
        <v>301</v>
      </c>
      <c r="B12" s="5" t="s">
        <v>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C00A-806A-4ED8-9F4D-5FFC556579AD}">
  <dimension ref="A1:D7"/>
  <sheetViews>
    <sheetView workbookViewId="0">
      <selection activeCell="B7" sqref="B7"/>
    </sheetView>
  </sheetViews>
  <sheetFormatPr defaultRowHeight="14.5" x14ac:dyDescent="0.35"/>
  <cols>
    <col min="1" max="1" width="19.54296875" customWidth="1"/>
    <col min="2" max="2" width="21.1796875" customWidth="1"/>
    <col min="3" max="3" width="76.26953125" customWidth="1"/>
    <col min="4" max="4" width="7" customWidth="1"/>
  </cols>
  <sheetData>
    <row r="1" spans="1:4" x14ac:dyDescent="0.35">
      <c r="A1" t="s">
        <v>251</v>
      </c>
      <c r="B1" t="s">
        <v>331</v>
      </c>
      <c r="C1" t="s">
        <v>285</v>
      </c>
      <c r="D1" t="s">
        <v>284</v>
      </c>
    </row>
    <row r="2" spans="1:4" x14ac:dyDescent="0.35">
      <c r="A2" t="s">
        <v>279</v>
      </c>
      <c r="B2" t="s">
        <v>334</v>
      </c>
      <c r="C2" t="s">
        <v>335</v>
      </c>
      <c r="D2">
        <v>163</v>
      </c>
    </row>
    <row r="3" spans="1:4" x14ac:dyDescent="0.35">
      <c r="A3" t="s">
        <v>280</v>
      </c>
      <c r="B3" t="s">
        <v>332</v>
      </c>
      <c r="C3" t="s">
        <v>289</v>
      </c>
      <c r="D3">
        <v>14</v>
      </c>
    </row>
    <row r="4" spans="1:4" x14ac:dyDescent="0.35">
      <c r="A4" t="s">
        <v>281</v>
      </c>
      <c r="B4" t="s">
        <v>333</v>
      </c>
      <c r="C4" t="s">
        <v>286</v>
      </c>
      <c r="D4">
        <v>982</v>
      </c>
    </row>
    <row r="5" spans="1:4" x14ac:dyDescent="0.35">
      <c r="A5" t="s">
        <v>282</v>
      </c>
      <c r="B5" t="s">
        <v>333</v>
      </c>
      <c r="C5" t="s">
        <v>287</v>
      </c>
      <c r="D5">
        <v>128</v>
      </c>
    </row>
    <row r="6" spans="1:4" x14ac:dyDescent="0.35">
      <c r="A6" t="s">
        <v>283</v>
      </c>
      <c r="B6" t="s">
        <v>333</v>
      </c>
      <c r="C6" t="s">
        <v>288</v>
      </c>
      <c r="D6">
        <v>1</v>
      </c>
    </row>
    <row r="7" spans="1:4" x14ac:dyDescent="0.35">
      <c r="A7" t="s">
        <v>231</v>
      </c>
      <c r="B7" t="s">
        <v>231</v>
      </c>
      <c r="C7" t="s">
        <v>293</v>
      </c>
      <c r="D7">
        <f>SUM(D2:D6)</f>
        <v>1288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E8661-58F7-4A4D-9F7C-724104DE0CE4}">
  <dimension ref="A1:C17"/>
  <sheetViews>
    <sheetView workbookViewId="0">
      <selection activeCell="G14" sqref="G14"/>
    </sheetView>
  </sheetViews>
  <sheetFormatPr defaultRowHeight="14.5" x14ac:dyDescent="0.35"/>
  <cols>
    <col min="1" max="2" width="13.1796875" customWidth="1"/>
    <col min="3" max="3" width="59.1796875" customWidth="1"/>
  </cols>
  <sheetData>
    <row r="1" spans="1:3" x14ac:dyDescent="0.35">
      <c r="A1" t="s">
        <v>13</v>
      </c>
      <c r="B1" t="s">
        <v>9</v>
      </c>
      <c r="C1" t="s">
        <v>11</v>
      </c>
    </row>
    <row r="2" spans="1:3" x14ac:dyDescent="0.35">
      <c r="A2" t="s">
        <v>215</v>
      </c>
      <c r="B2" t="s">
        <v>35</v>
      </c>
      <c r="C2" t="s">
        <v>62</v>
      </c>
    </row>
    <row r="3" spans="1:3" x14ac:dyDescent="0.35">
      <c r="A3" t="s">
        <v>307</v>
      </c>
      <c r="B3" t="s">
        <v>35</v>
      </c>
      <c r="C3" t="s">
        <v>306</v>
      </c>
    </row>
    <row r="4" spans="1:3" x14ac:dyDescent="0.35">
      <c r="A4" t="s">
        <v>216</v>
      </c>
      <c r="B4" t="s">
        <v>308</v>
      </c>
      <c r="C4" t="s">
        <v>59</v>
      </c>
    </row>
    <row r="5" spans="1:3" x14ac:dyDescent="0.35">
      <c r="A5" t="s">
        <v>217</v>
      </c>
      <c r="B5" t="s">
        <v>308</v>
      </c>
      <c r="C5" t="s">
        <v>61</v>
      </c>
    </row>
    <row r="6" spans="1:3" x14ac:dyDescent="0.35">
      <c r="A6" t="s">
        <v>218</v>
      </c>
      <c r="B6" t="s">
        <v>308</v>
      </c>
      <c r="C6" t="s">
        <v>60</v>
      </c>
    </row>
    <row r="7" spans="1:3" x14ac:dyDescent="0.35">
      <c r="A7" t="s">
        <v>219</v>
      </c>
      <c r="B7" t="s">
        <v>308</v>
      </c>
      <c r="C7" t="s">
        <v>68</v>
      </c>
    </row>
    <row r="8" spans="1:3" x14ac:dyDescent="0.35">
      <c r="A8" t="s">
        <v>220</v>
      </c>
      <c r="B8" t="s">
        <v>309</v>
      </c>
      <c r="C8" t="s">
        <v>66</v>
      </c>
    </row>
    <row r="9" spans="1:3" x14ac:dyDescent="0.35">
      <c r="A9" t="s">
        <v>221</v>
      </c>
      <c r="B9" t="s">
        <v>309</v>
      </c>
      <c r="C9" t="s">
        <v>67</v>
      </c>
    </row>
    <row r="10" spans="1:3" x14ac:dyDescent="0.35">
      <c r="A10" t="s">
        <v>222</v>
      </c>
      <c r="B10" t="s">
        <v>309</v>
      </c>
      <c r="C10" t="s">
        <v>71</v>
      </c>
    </row>
    <row r="11" spans="1:3" x14ac:dyDescent="0.35">
      <c r="A11" t="s">
        <v>223</v>
      </c>
      <c r="B11" t="s">
        <v>309</v>
      </c>
      <c r="C11" t="s">
        <v>313</v>
      </c>
    </row>
    <row r="12" spans="1:3" x14ac:dyDescent="0.35">
      <c r="A12" t="s">
        <v>224</v>
      </c>
      <c r="B12" t="s">
        <v>309</v>
      </c>
      <c r="C12" t="s">
        <v>314</v>
      </c>
    </row>
    <row r="13" spans="1:3" x14ac:dyDescent="0.35">
      <c r="A13" t="s">
        <v>225</v>
      </c>
      <c r="B13" t="s">
        <v>310</v>
      </c>
      <c r="C13" t="s">
        <v>69</v>
      </c>
    </row>
    <row r="14" spans="1:3" x14ac:dyDescent="0.35">
      <c r="A14" t="s">
        <v>226</v>
      </c>
      <c r="B14" t="s">
        <v>310</v>
      </c>
      <c r="C14" t="s">
        <v>70</v>
      </c>
    </row>
    <row r="15" spans="1:3" x14ac:dyDescent="0.35">
      <c r="A15" t="s">
        <v>227</v>
      </c>
      <c r="B15" t="s">
        <v>310</v>
      </c>
      <c r="C15" t="s">
        <v>72</v>
      </c>
    </row>
    <row r="16" spans="1:3" x14ac:dyDescent="0.35">
      <c r="A16" t="s">
        <v>304</v>
      </c>
      <c r="B16" t="s">
        <v>311</v>
      </c>
      <c r="C16" t="s">
        <v>312</v>
      </c>
    </row>
    <row r="17" spans="1:3" x14ac:dyDescent="0.35">
      <c r="A17" t="s">
        <v>305</v>
      </c>
      <c r="B17" t="s">
        <v>311</v>
      </c>
      <c r="C17" t="s">
        <v>315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EF8B3-71A2-42AA-ACE0-0FF455C3A4FB}">
  <dimension ref="A1:B5"/>
  <sheetViews>
    <sheetView workbookViewId="0">
      <selection activeCell="A11" sqref="A11"/>
    </sheetView>
  </sheetViews>
  <sheetFormatPr defaultRowHeight="14.5" x14ac:dyDescent="0.35"/>
  <cols>
    <col min="1" max="1" width="16.81640625" customWidth="1"/>
    <col min="2" max="2" width="17.453125" customWidth="1"/>
  </cols>
  <sheetData>
    <row r="1" spans="1:2" x14ac:dyDescent="0.35">
      <c r="A1" t="s">
        <v>324</v>
      </c>
      <c r="B1" t="s">
        <v>325</v>
      </c>
    </row>
    <row r="2" spans="1:2" x14ac:dyDescent="0.35">
      <c r="A2" t="s">
        <v>316</v>
      </c>
      <c r="B2" t="s">
        <v>317</v>
      </c>
    </row>
    <row r="3" spans="1:2" x14ac:dyDescent="0.35">
      <c r="A3" t="s">
        <v>323</v>
      </c>
      <c r="B3" t="s">
        <v>318</v>
      </c>
    </row>
    <row r="4" spans="1:2" x14ac:dyDescent="0.35">
      <c r="A4" t="s">
        <v>322</v>
      </c>
      <c r="B4" t="s">
        <v>319</v>
      </c>
    </row>
    <row r="5" spans="1:2" x14ac:dyDescent="0.35">
      <c r="A5" t="s">
        <v>320</v>
      </c>
      <c r="B5" t="s">
        <v>321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AC486-A017-463D-8ADB-61E4EC63F3EE}">
  <dimension ref="A1:A5"/>
  <sheetViews>
    <sheetView workbookViewId="0">
      <selection activeCell="K8" sqref="K8"/>
    </sheetView>
  </sheetViews>
  <sheetFormatPr defaultRowHeight="14.5" x14ac:dyDescent="0.35"/>
  <sheetData>
    <row r="1" spans="1:1" x14ac:dyDescent="0.35">
      <c r="A1" t="s">
        <v>43</v>
      </c>
    </row>
    <row r="2" spans="1:1" x14ac:dyDescent="0.35">
      <c r="A2" t="s">
        <v>326</v>
      </c>
    </row>
    <row r="3" spans="1:1" x14ac:dyDescent="0.35">
      <c r="A3" t="s">
        <v>50</v>
      </c>
    </row>
    <row r="4" spans="1:1" x14ac:dyDescent="0.35">
      <c r="A4" t="s">
        <v>51</v>
      </c>
    </row>
    <row r="5" spans="1:1" x14ac:dyDescent="0.35">
      <c r="A5" t="s">
        <v>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8FC8-91C1-41A2-9BA3-CA12A708DF6A}">
  <dimension ref="A1:C5"/>
  <sheetViews>
    <sheetView workbookViewId="0">
      <selection activeCell="B10" sqref="B10"/>
    </sheetView>
  </sheetViews>
  <sheetFormatPr defaultRowHeight="14.5" x14ac:dyDescent="0.35"/>
  <cols>
    <col min="1" max="1" width="19.54296875" customWidth="1"/>
    <col min="2" max="2" width="22.54296875" customWidth="1"/>
    <col min="3" max="3" width="29.81640625" customWidth="1"/>
  </cols>
  <sheetData>
    <row r="1" spans="1:3" x14ac:dyDescent="0.35">
      <c r="A1" t="s">
        <v>9</v>
      </c>
      <c r="B1" t="s">
        <v>10</v>
      </c>
      <c r="C1" t="s">
        <v>11</v>
      </c>
    </row>
    <row r="2" spans="1:3" x14ac:dyDescent="0.35">
      <c r="A2" t="s">
        <v>153</v>
      </c>
      <c r="B2" t="s">
        <v>38</v>
      </c>
      <c r="C2" t="s">
        <v>164</v>
      </c>
    </row>
    <row r="3" spans="1:3" x14ac:dyDescent="0.35">
      <c r="A3" t="s">
        <v>35</v>
      </c>
      <c r="B3" t="s">
        <v>38</v>
      </c>
      <c r="C3" t="s">
        <v>163</v>
      </c>
    </row>
    <row r="4" spans="1:3" x14ac:dyDescent="0.35">
      <c r="A4" t="s">
        <v>36</v>
      </c>
      <c r="B4" t="s">
        <v>38</v>
      </c>
      <c r="C4" t="s">
        <v>163</v>
      </c>
    </row>
    <row r="5" spans="1:3" x14ac:dyDescent="0.35">
      <c r="A5" t="s">
        <v>37</v>
      </c>
      <c r="B5" t="s">
        <v>39</v>
      </c>
      <c r="C5" t="s">
        <v>165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6BA38-7908-4D5C-90BF-A498D09C814B}">
  <dimension ref="A1:F9"/>
  <sheetViews>
    <sheetView topLeftCell="C1" workbookViewId="0">
      <selection activeCell="C14" sqref="C14"/>
    </sheetView>
  </sheetViews>
  <sheetFormatPr defaultRowHeight="14.5" x14ac:dyDescent="0.35"/>
  <cols>
    <col min="2" max="2" width="21.81640625" customWidth="1"/>
    <col min="3" max="3" width="26.54296875" customWidth="1"/>
    <col min="4" max="4" width="8.453125" customWidth="1"/>
    <col min="5" max="5" width="16.26953125" customWidth="1"/>
    <col min="6" max="6" width="42.1796875" customWidth="1"/>
  </cols>
  <sheetData>
    <row r="1" spans="1:6" x14ac:dyDescent="0.35">
      <c r="A1" t="s">
        <v>13</v>
      </c>
      <c r="B1" t="s">
        <v>12</v>
      </c>
      <c r="C1" t="s">
        <v>29</v>
      </c>
      <c r="D1" t="s">
        <v>30</v>
      </c>
      <c r="E1" t="s">
        <v>40</v>
      </c>
      <c r="F1" t="s">
        <v>11</v>
      </c>
    </row>
    <row r="2" spans="1:6" x14ac:dyDescent="0.35">
      <c r="A2" t="s">
        <v>14</v>
      </c>
      <c r="B2" t="s">
        <v>347</v>
      </c>
      <c r="C2" t="s">
        <v>65</v>
      </c>
      <c r="D2" t="s">
        <v>65</v>
      </c>
      <c r="E2" t="s">
        <v>73</v>
      </c>
      <c r="F2" t="s">
        <v>348</v>
      </c>
    </row>
    <row r="3" spans="1:6" x14ac:dyDescent="0.35">
      <c r="A3" t="s">
        <v>15</v>
      </c>
      <c r="B3" t="s">
        <v>22</v>
      </c>
      <c r="C3" t="s">
        <v>157</v>
      </c>
      <c r="D3" t="s">
        <v>65</v>
      </c>
      <c r="E3" t="s">
        <v>228</v>
      </c>
      <c r="F3" t="s">
        <v>63</v>
      </c>
    </row>
    <row r="4" spans="1:6" x14ac:dyDescent="0.35">
      <c r="A4" t="s">
        <v>16</v>
      </c>
      <c r="B4" t="s">
        <v>23</v>
      </c>
      <c r="C4" t="s">
        <v>167</v>
      </c>
      <c r="D4" t="s">
        <v>65</v>
      </c>
      <c r="E4" t="s">
        <v>228</v>
      </c>
      <c r="F4" t="s">
        <v>63</v>
      </c>
    </row>
    <row r="5" spans="1:6" x14ac:dyDescent="0.35">
      <c r="A5" t="s">
        <v>17</v>
      </c>
      <c r="B5" t="s">
        <v>25</v>
      </c>
      <c r="C5" t="s">
        <v>157</v>
      </c>
      <c r="D5" t="s">
        <v>65</v>
      </c>
      <c r="E5" t="s">
        <v>228</v>
      </c>
      <c r="F5" t="s">
        <v>64</v>
      </c>
    </row>
    <row r="6" spans="1:6" x14ac:dyDescent="0.35">
      <c r="A6" t="s">
        <v>18</v>
      </c>
      <c r="B6" t="s">
        <v>24</v>
      </c>
      <c r="C6" t="s">
        <v>167</v>
      </c>
      <c r="D6" t="s">
        <v>65</v>
      </c>
      <c r="E6" t="s">
        <v>228</v>
      </c>
      <c r="F6" t="s">
        <v>64</v>
      </c>
    </row>
    <row r="7" spans="1:6" x14ac:dyDescent="0.35">
      <c r="A7" t="s">
        <v>19</v>
      </c>
      <c r="B7" t="s">
        <v>26</v>
      </c>
      <c r="C7" t="s">
        <v>166</v>
      </c>
      <c r="D7" t="s">
        <v>65</v>
      </c>
      <c r="E7" t="s">
        <v>74</v>
      </c>
      <c r="F7" t="s">
        <v>336</v>
      </c>
    </row>
    <row r="8" spans="1:6" x14ac:dyDescent="0.35">
      <c r="A8" t="s">
        <v>20</v>
      </c>
      <c r="B8" t="s">
        <v>27</v>
      </c>
      <c r="C8" t="s">
        <v>168</v>
      </c>
      <c r="D8" t="s">
        <v>65</v>
      </c>
      <c r="E8" t="s">
        <v>74</v>
      </c>
      <c r="F8" t="s">
        <v>337</v>
      </c>
    </row>
    <row r="9" spans="1:6" x14ac:dyDescent="0.35">
      <c r="A9" t="s">
        <v>21</v>
      </c>
      <c r="B9" t="s">
        <v>28</v>
      </c>
      <c r="C9" t="s">
        <v>154</v>
      </c>
      <c r="D9" t="s">
        <v>65</v>
      </c>
      <c r="E9" t="s">
        <v>74</v>
      </c>
      <c r="F9" t="s">
        <v>337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B310C-599A-4BAB-B51A-E74D7F51AC0B}">
  <dimension ref="A1:B7"/>
  <sheetViews>
    <sheetView workbookViewId="0">
      <selection activeCell="B11" sqref="B11"/>
    </sheetView>
  </sheetViews>
  <sheetFormatPr defaultRowHeight="14.5" x14ac:dyDescent="0.35"/>
  <cols>
    <col min="1" max="1" width="25.453125" customWidth="1"/>
    <col min="2" max="2" width="53.54296875" customWidth="1"/>
  </cols>
  <sheetData>
    <row r="1" spans="1:2" x14ac:dyDescent="0.35">
      <c r="A1" s="1" t="s">
        <v>75</v>
      </c>
      <c r="B1" s="1" t="s">
        <v>76</v>
      </c>
    </row>
    <row r="2" spans="1:2" x14ac:dyDescent="0.35">
      <c r="A2" t="s">
        <v>77</v>
      </c>
      <c r="B2" t="s">
        <v>327</v>
      </c>
    </row>
    <row r="3" spans="1:2" x14ac:dyDescent="0.35">
      <c r="A3" t="s">
        <v>78</v>
      </c>
      <c r="B3" t="s">
        <v>80</v>
      </c>
    </row>
    <row r="4" spans="1:2" x14ac:dyDescent="0.35">
      <c r="A4" t="s">
        <v>79</v>
      </c>
      <c r="B4" t="s">
        <v>343</v>
      </c>
    </row>
    <row r="5" spans="1:2" x14ac:dyDescent="0.35">
      <c r="A5" t="s">
        <v>81</v>
      </c>
      <c r="B5" t="s">
        <v>328</v>
      </c>
    </row>
    <row r="6" spans="1:2" x14ac:dyDescent="0.35">
      <c r="A6" t="s">
        <v>82</v>
      </c>
      <c r="B6" t="s">
        <v>329</v>
      </c>
    </row>
    <row r="7" spans="1:2" x14ac:dyDescent="0.35">
      <c r="A7" t="s">
        <v>330</v>
      </c>
      <c r="B7" t="s">
        <v>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7926F-43CB-455A-AC6E-4954BADA8C82}">
  <dimension ref="A1:C6"/>
  <sheetViews>
    <sheetView workbookViewId="0">
      <selection activeCell="C6" sqref="C6"/>
    </sheetView>
  </sheetViews>
  <sheetFormatPr defaultRowHeight="14.5" x14ac:dyDescent="0.35"/>
  <cols>
    <col min="2" max="2" width="15.453125" customWidth="1"/>
    <col min="3" max="3" width="14.1796875" customWidth="1"/>
  </cols>
  <sheetData>
    <row r="1" spans="1:3" x14ac:dyDescent="0.35">
      <c r="A1" s="1" t="s">
        <v>13</v>
      </c>
      <c r="B1" s="1" t="s">
        <v>159</v>
      </c>
      <c r="C1" s="1" t="s">
        <v>11</v>
      </c>
    </row>
    <row r="2" spans="1:3" x14ac:dyDescent="0.35">
      <c r="A2" t="s">
        <v>154</v>
      </c>
      <c r="B2" t="s">
        <v>155</v>
      </c>
      <c r="C2" t="s">
        <v>160</v>
      </c>
    </row>
    <row r="3" spans="1:3" x14ac:dyDescent="0.35">
      <c r="A3" t="s">
        <v>156</v>
      </c>
      <c r="B3" t="s">
        <v>33</v>
      </c>
      <c r="C3" t="s">
        <v>161</v>
      </c>
    </row>
    <row r="4" spans="1:3" x14ac:dyDescent="0.35">
      <c r="A4" t="s">
        <v>34</v>
      </c>
      <c r="B4" t="s">
        <v>32</v>
      </c>
      <c r="C4" t="s">
        <v>41</v>
      </c>
    </row>
    <row r="5" spans="1:3" x14ac:dyDescent="0.35">
      <c r="A5" t="s">
        <v>31</v>
      </c>
      <c r="B5" t="s">
        <v>31</v>
      </c>
      <c r="C5" t="s">
        <v>162</v>
      </c>
    </row>
    <row r="6" spans="1:3" x14ac:dyDescent="0.35">
      <c r="A6" t="s">
        <v>157</v>
      </c>
      <c r="B6" t="s">
        <v>158</v>
      </c>
      <c r="C6" t="s">
        <v>346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4489-C592-46C6-B98F-008C606ED044}">
  <dimension ref="A1:D10"/>
  <sheetViews>
    <sheetView workbookViewId="0">
      <selection activeCell="B13" sqref="B13"/>
    </sheetView>
  </sheetViews>
  <sheetFormatPr defaultRowHeight="14.5" x14ac:dyDescent="0.35"/>
  <cols>
    <col min="1" max="1" width="24" customWidth="1"/>
    <col min="2" max="2" width="26.453125" customWidth="1"/>
    <col min="4" max="4" width="12.453125" customWidth="1"/>
  </cols>
  <sheetData>
    <row r="1" spans="1:4" x14ac:dyDescent="0.35">
      <c r="A1" s="1" t="s">
        <v>84</v>
      </c>
      <c r="B1" s="1" t="s">
        <v>86</v>
      </c>
      <c r="C1" s="1" t="s">
        <v>85</v>
      </c>
      <c r="D1" s="1" t="s">
        <v>30</v>
      </c>
    </row>
    <row r="2" spans="1:4" x14ac:dyDescent="0.35">
      <c r="A2" t="s">
        <v>87</v>
      </c>
      <c r="B2" t="s">
        <v>93</v>
      </c>
      <c r="C2" t="s">
        <v>65</v>
      </c>
      <c r="D2" t="s">
        <v>94</v>
      </c>
    </row>
    <row r="3" spans="1:4" x14ac:dyDescent="0.35">
      <c r="A3" t="s">
        <v>152</v>
      </c>
      <c r="B3" t="s">
        <v>152</v>
      </c>
      <c r="C3" t="s">
        <v>91</v>
      </c>
      <c r="D3" t="s">
        <v>95</v>
      </c>
    </row>
    <row r="4" spans="1:4" x14ac:dyDescent="0.35">
      <c r="A4" t="s">
        <v>152</v>
      </c>
      <c r="B4" t="s">
        <v>152</v>
      </c>
      <c r="C4" t="s">
        <v>89</v>
      </c>
      <c r="D4" t="s">
        <v>96</v>
      </c>
    </row>
    <row r="5" spans="1:4" x14ac:dyDescent="0.35">
      <c r="A5" t="s">
        <v>152</v>
      </c>
      <c r="B5" t="s">
        <v>152</v>
      </c>
      <c r="C5" t="s">
        <v>90</v>
      </c>
      <c r="D5" t="s">
        <v>98</v>
      </c>
    </row>
    <row r="6" spans="1:4" x14ac:dyDescent="0.35">
      <c r="A6" t="s">
        <v>88</v>
      </c>
      <c r="B6" t="s">
        <v>97</v>
      </c>
      <c r="C6" t="s">
        <v>65</v>
      </c>
      <c r="D6" t="s">
        <v>94</v>
      </c>
    </row>
    <row r="7" spans="1:4" x14ac:dyDescent="0.35">
      <c r="A7" t="s">
        <v>92</v>
      </c>
      <c r="B7" t="s">
        <v>99</v>
      </c>
      <c r="C7" t="s">
        <v>65</v>
      </c>
      <c r="D7" t="s">
        <v>94</v>
      </c>
    </row>
    <row r="8" spans="1:4" x14ac:dyDescent="0.35">
      <c r="A8" t="s">
        <v>152</v>
      </c>
      <c r="B8" t="s">
        <v>152</v>
      </c>
      <c r="C8" t="s">
        <v>91</v>
      </c>
      <c r="D8" t="s">
        <v>95</v>
      </c>
    </row>
    <row r="9" spans="1:4" x14ac:dyDescent="0.35">
      <c r="A9" t="s">
        <v>152</v>
      </c>
      <c r="B9" t="s">
        <v>152</v>
      </c>
      <c r="C9" t="s">
        <v>89</v>
      </c>
      <c r="D9" t="s">
        <v>96</v>
      </c>
    </row>
    <row r="10" spans="1:4" x14ac:dyDescent="0.35">
      <c r="A10" t="s">
        <v>152</v>
      </c>
      <c r="B10" t="s">
        <v>152</v>
      </c>
      <c r="C10" t="s">
        <v>90</v>
      </c>
      <c r="D10" t="s">
        <v>98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B1A4-32CC-40D1-B203-9F91BD896760}">
  <dimension ref="A1:B5"/>
  <sheetViews>
    <sheetView workbookViewId="0">
      <selection activeCell="B10" sqref="B10"/>
    </sheetView>
  </sheetViews>
  <sheetFormatPr defaultRowHeight="14.5" x14ac:dyDescent="0.35"/>
  <cols>
    <col min="1" max="1" width="19.54296875" customWidth="1"/>
    <col min="2" max="2" width="41.26953125" customWidth="1"/>
  </cols>
  <sheetData>
    <row r="1" spans="1:2" x14ac:dyDescent="0.35">
      <c r="A1" t="s">
        <v>100</v>
      </c>
      <c r="B1" t="s">
        <v>11</v>
      </c>
    </row>
    <row r="2" spans="1:2" x14ac:dyDescent="0.35">
      <c r="A2" t="s">
        <v>105</v>
      </c>
      <c r="B2" t="s">
        <v>101</v>
      </c>
    </row>
    <row r="3" spans="1:2" x14ac:dyDescent="0.35">
      <c r="A3" t="s">
        <v>104</v>
      </c>
      <c r="B3" t="s">
        <v>106</v>
      </c>
    </row>
    <row r="4" spans="1:2" x14ac:dyDescent="0.35">
      <c r="A4" t="s">
        <v>102</v>
      </c>
      <c r="B4" t="s">
        <v>103</v>
      </c>
    </row>
    <row r="5" spans="1:2" x14ac:dyDescent="0.35">
      <c r="A5" t="s">
        <v>107</v>
      </c>
      <c r="B5" t="s">
        <v>108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62EB3-8C36-45A6-A7F5-E11890F2B3BC}">
  <dimension ref="A1:B9"/>
  <sheetViews>
    <sheetView workbookViewId="0">
      <selection activeCell="B21" sqref="B21"/>
    </sheetView>
  </sheetViews>
  <sheetFormatPr defaultRowHeight="14.5" x14ac:dyDescent="0.35"/>
  <cols>
    <col min="1" max="1" width="30.54296875" customWidth="1"/>
    <col min="2" max="2" width="105.81640625" customWidth="1"/>
  </cols>
  <sheetData>
    <row r="1" spans="1:2" x14ac:dyDescent="0.35">
      <c r="A1" t="s">
        <v>109</v>
      </c>
      <c r="B1" t="s">
        <v>11</v>
      </c>
    </row>
    <row r="2" spans="1:2" x14ac:dyDescent="0.35">
      <c r="A2" t="s">
        <v>110</v>
      </c>
      <c r="B2" t="s">
        <v>111</v>
      </c>
    </row>
    <row r="3" spans="1:2" x14ac:dyDescent="0.35">
      <c r="A3" t="s">
        <v>112</v>
      </c>
      <c r="B3" t="s">
        <v>113</v>
      </c>
    </row>
    <row r="4" spans="1:2" x14ac:dyDescent="0.35">
      <c r="A4" t="s">
        <v>114</v>
      </c>
      <c r="B4" t="s">
        <v>115</v>
      </c>
    </row>
    <row r="5" spans="1:2" x14ac:dyDescent="0.35">
      <c r="A5" t="s">
        <v>116</v>
      </c>
      <c r="B5" t="s">
        <v>117</v>
      </c>
    </row>
    <row r="6" spans="1:2" x14ac:dyDescent="0.35">
      <c r="A6" t="s">
        <v>118</v>
      </c>
      <c r="B6" t="s">
        <v>119</v>
      </c>
    </row>
    <row r="7" spans="1:2" x14ac:dyDescent="0.35">
      <c r="A7" t="s">
        <v>120</v>
      </c>
      <c r="B7" t="s">
        <v>121</v>
      </c>
    </row>
    <row r="8" spans="1:2" x14ac:dyDescent="0.35">
      <c r="A8" t="s">
        <v>122</v>
      </c>
      <c r="B8" t="s">
        <v>123</v>
      </c>
    </row>
    <row r="9" spans="1:2" x14ac:dyDescent="0.35">
      <c r="A9" t="s">
        <v>124</v>
      </c>
      <c r="B9" t="s">
        <v>125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2138-93B3-4409-93D1-7697414686F5}">
  <dimension ref="A1:E13"/>
  <sheetViews>
    <sheetView workbookViewId="0">
      <selection activeCell="A3" sqref="A3"/>
    </sheetView>
  </sheetViews>
  <sheetFormatPr defaultRowHeight="14.5" x14ac:dyDescent="0.35"/>
  <cols>
    <col min="1" max="1" width="75.26953125" customWidth="1"/>
    <col min="2" max="2" width="12.54296875" customWidth="1"/>
    <col min="3" max="3" width="21.26953125" customWidth="1"/>
    <col min="4" max="4" width="8.1796875" customWidth="1"/>
    <col min="5" max="5" width="42.81640625" customWidth="1"/>
  </cols>
  <sheetData>
    <row r="1" spans="1:5" x14ac:dyDescent="0.35">
      <c r="A1" t="s">
        <v>251</v>
      </c>
      <c r="B1" t="s">
        <v>252</v>
      </c>
      <c r="C1" t="s">
        <v>253</v>
      </c>
      <c r="D1" t="s">
        <v>254</v>
      </c>
      <c r="E1" t="s">
        <v>255</v>
      </c>
    </row>
    <row r="2" spans="1:5" x14ac:dyDescent="0.35">
      <c r="A2" t="s">
        <v>247</v>
      </c>
      <c r="B2">
        <v>1.27</v>
      </c>
      <c r="C2" t="s">
        <v>235</v>
      </c>
      <c r="D2">
        <v>0.08</v>
      </c>
      <c r="E2" t="s">
        <v>240</v>
      </c>
    </row>
    <row r="3" spans="1:5" x14ac:dyDescent="0.35">
      <c r="A3" t="s">
        <v>349</v>
      </c>
      <c r="B3">
        <v>1289</v>
      </c>
      <c r="C3" t="s">
        <v>235</v>
      </c>
      <c r="D3">
        <v>0.02</v>
      </c>
      <c r="E3" t="s">
        <v>242</v>
      </c>
    </row>
    <row r="4" spans="1:5" x14ac:dyDescent="0.35">
      <c r="A4" t="s">
        <v>246</v>
      </c>
      <c r="B4" s="4" t="s">
        <v>344</v>
      </c>
      <c r="C4" t="s">
        <v>233</v>
      </c>
      <c r="D4" t="s">
        <v>231</v>
      </c>
      <c r="E4" t="s">
        <v>242</v>
      </c>
    </row>
    <row r="5" spans="1:5" x14ac:dyDescent="0.35">
      <c r="A5" t="s">
        <v>245</v>
      </c>
      <c r="B5">
        <v>458</v>
      </c>
      <c r="C5" t="s">
        <v>233</v>
      </c>
      <c r="D5" t="s">
        <v>231</v>
      </c>
      <c r="E5" t="s">
        <v>242</v>
      </c>
    </row>
    <row r="6" spans="1:5" x14ac:dyDescent="0.35">
      <c r="A6" t="s">
        <v>248</v>
      </c>
      <c r="B6">
        <v>0.15</v>
      </c>
      <c r="C6" t="s">
        <v>233</v>
      </c>
      <c r="D6" t="s">
        <v>231</v>
      </c>
      <c r="E6" t="s">
        <v>249</v>
      </c>
    </row>
    <row r="7" spans="1:5" x14ac:dyDescent="0.35">
      <c r="A7" t="s">
        <v>243</v>
      </c>
      <c r="B7" s="4" t="s">
        <v>256</v>
      </c>
      <c r="C7" t="s">
        <v>233</v>
      </c>
      <c r="D7" t="s">
        <v>231</v>
      </c>
      <c r="E7" t="s">
        <v>240</v>
      </c>
    </row>
    <row r="8" spans="1:5" x14ac:dyDescent="0.35">
      <c r="A8" t="s">
        <v>244</v>
      </c>
      <c r="B8">
        <v>2.67</v>
      </c>
      <c r="C8" t="s">
        <v>233</v>
      </c>
      <c r="D8" t="s">
        <v>231</v>
      </c>
      <c r="E8" t="s">
        <v>240</v>
      </c>
    </row>
    <row r="9" spans="1:5" x14ac:dyDescent="0.35">
      <c r="A9" t="s">
        <v>232</v>
      </c>
      <c r="B9" t="s">
        <v>230</v>
      </c>
      <c r="C9" t="s">
        <v>234</v>
      </c>
      <c r="D9">
        <v>0.1</v>
      </c>
      <c r="E9" t="s">
        <v>250</v>
      </c>
    </row>
    <row r="10" spans="1:5" x14ac:dyDescent="0.35">
      <c r="A10" t="s">
        <v>237</v>
      </c>
      <c r="B10" t="s">
        <v>238</v>
      </c>
      <c r="C10" t="s">
        <v>239</v>
      </c>
      <c r="D10" s="4" t="s">
        <v>345</v>
      </c>
      <c r="E10" t="s">
        <v>250</v>
      </c>
    </row>
    <row r="11" spans="1:5" x14ac:dyDescent="0.35">
      <c r="A11" t="s">
        <v>236</v>
      </c>
      <c r="B11">
        <v>0.25</v>
      </c>
      <c r="C11" t="s">
        <v>233</v>
      </c>
      <c r="D11" t="s">
        <v>231</v>
      </c>
      <c r="E11" t="s">
        <v>241</v>
      </c>
    </row>
    <row r="13" spans="1:5" ht="14.25" customHeight="1" x14ac:dyDescent="0.35"/>
  </sheetData>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2580-D34B-4110-AF41-EF4D8F8C8CF2}">
  <dimension ref="A1:B14"/>
  <sheetViews>
    <sheetView workbookViewId="0">
      <selection activeCell="G5" sqref="G5"/>
    </sheetView>
  </sheetViews>
  <sheetFormatPr defaultRowHeight="14.5" x14ac:dyDescent="0.35"/>
  <cols>
    <col min="1" max="1" width="10.54296875" customWidth="1"/>
    <col min="2" max="2" width="87" customWidth="1"/>
  </cols>
  <sheetData>
    <row r="1" spans="1:2" x14ac:dyDescent="0.35">
      <c r="A1" t="s">
        <v>85</v>
      </c>
      <c r="B1" t="s">
        <v>11</v>
      </c>
    </row>
    <row r="2" spans="1:2" ht="26.5" thickBot="1" x14ac:dyDescent="0.4">
      <c r="A2" s="2" t="s">
        <v>126</v>
      </c>
      <c r="B2" s="2" t="s">
        <v>127</v>
      </c>
    </row>
    <row r="3" spans="1:2" ht="26.5" thickBot="1" x14ac:dyDescent="0.4">
      <c r="A3" s="2" t="s">
        <v>128</v>
      </c>
      <c r="B3" s="2" t="s">
        <v>129</v>
      </c>
    </row>
    <row r="4" spans="1:2" ht="26.5" thickBot="1" x14ac:dyDescent="0.4">
      <c r="A4" s="2" t="s">
        <v>130</v>
      </c>
      <c r="B4" s="2" t="s">
        <v>131</v>
      </c>
    </row>
    <row r="5" spans="1:2" ht="26.5" thickBot="1" x14ac:dyDescent="0.4">
      <c r="A5" s="2" t="s">
        <v>132</v>
      </c>
      <c r="B5" s="2" t="s">
        <v>133</v>
      </c>
    </row>
    <row r="6" spans="1:2" ht="26.5" thickBot="1" x14ac:dyDescent="0.4">
      <c r="A6" s="2" t="s">
        <v>134</v>
      </c>
      <c r="B6" s="2" t="s">
        <v>135</v>
      </c>
    </row>
    <row r="7" spans="1:2" ht="65.5" thickBot="1" x14ac:dyDescent="0.4">
      <c r="A7" s="2" t="s">
        <v>136</v>
      </c>
      <c r="B7" s="2" t="s">
        <v>137</v>
      </c>
    </row>
    <row r="8" spans="1:2" ht="26.5" thickBot="1" x14ac:dyDescent="0.4">
      <c r="A8" s="2" t="s">
        <v>138</v>
      </c>
      <c r="B8" s="2" t="s">
        <v>139</v>
      </c>
    </row>
    <row r="9" spans="1:2" ht="26.5" thickBot="1" x14ac:dyDescent="0.4">
      <c r="A9" s="2" t="s">
        <v>140</v>
      </c>
      <c r="B9" s="2" t="s">
        <v>141</v>
      </c>
    </row>
    <row r="10" spans="1:2" ht="26.5" thickBot="1" x14ac:dyDescent="0.4">
      <c r="A10" s="2" t="s">
        <v>142</v>
      </c>
      <c r="B10" s="2" t="s">
        <v>143</v>
      </c>
    </row>
    <row r="11" spans="1:2" ht="39.5" thickBot="1" x14ac:dyDescent="0.4">
      <c r="A11" s="2" t="s">
        <v>144</v>
      </c>
      <c r="B11" s="2" t="s">
        <v>145</v>
      </c>
    </row>
    <row r="12" spans="1:2" ht="26.5" thickBot="1" x14ac:dyDescent="0.4">
      <c r="A12" s="2" t="s">
        <v>146</v>
      </c>
      <c r="B12" s="2" t="s">
        <v>147</v>
      </c>
    </row>
    <row r="13" spans="1:2" ht="26.5" thickBot="1" x14ac:dyDescent="0.4">
      <c r="A13" s="2" t="s">
        <v>148</v>
      </c>
      <c r="B13" s="2" t="s">
        <v>149</v>
      </c>
    </row>
    <row r="14" spans="1:2" ht="39.5" thickBot="1" x14ac:dyDescent="0.4">
      <c r="A14" s="2" t="s">
        <v>150</v>
      </c>
      <c r="B14" s="2"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ToDo</vt:lpstr>
      <vt:lpstr>Challenges</vt:lpstr>
      <vt:lpstr>CMO</vt:lpstr>
      <vt:lpstr>RefGrid</vt:lpstr>
      <vt:lpstr>Reference</vt:lpstr>
      <vt:lpstr>RCM_LHF</vt:lpstr>
      <vt:lpstr>RCM_config</vt:lpstr>
      <vt:lpstr>RCM_params</vt:lpstr>
      <vt:lpstr>Robustness</vt:lpstr>
      <vt:lpstr>StatQuo</vt:lpstr>
      <vt:lpstr>Solutions</vt:lpstr>
      <vt:lpstr>PastData</vt:lpstr>
      <vt:lpstr>Fleets</vt:lpstr>
      <vt:lpstr>Data_Assump</vt:lpstr>
      <vt:lpstr>Areas</vt:lpstr>
      <vt:lpstr>PMs</vt:lpstr>
      <vt:lpstr>MParch</vt:lpstr>
      <vt:lpstr>MPderiv</vt:lpstr>
      <vt:lpstr>Params</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Carruthers</dc:creator>
  <cp:lastModifiedBy>Thomas Carruthers</cp:lastModifiedBy>
  <dcterms:created xsi:type="dcterms:W3CDTF">2024-12-18T01:27:06Z</dcterms:created>
  <dcterms:modified xsi:type="dcterms:W3CDTF">2026-08-26T21:41:14Z</dcterms:modified>
</cp:coreProperties>
</file>